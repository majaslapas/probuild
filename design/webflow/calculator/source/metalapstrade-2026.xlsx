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ina\Documents\Probuild SIA\Mājaslapa\AI pielabotie skaitļi\"/>
    </mc:Choice>
  </mc:AlternateContent>
  <bookViews>
    <workbookView xWindow="0" yWindow="0" windowWidth="23040" windowHeight="9384"/>
  </bookViews>
  <sheets>
    <sheet name="Metālapstrādes cenas" sheetId="1" r:id="rId1"/>
    <sheet name="Kategoriju kopsavilkums" sheetId="2" r:id="rId2"/>
    <sheet name="Metodika un avoti" sheetId="3" r:id="rId3"/>
    <sheet name="Publiskās cenu atsauces" sheetId="4" r:id="rId4"/>
  </sheets>
  <definedNames>
    <definedName name="_xlnm._FilterDatabase" localSheetId="1" hidden="1">'Kategoriju kopsavilkums'!$A$1:$B$9</definedName>
    <definedName name="_xlnm._FilterDatabase" localSheetId="0" hidden="1">'Metālapstrādes cenas'!$A$1:$I$44</definedName>
    <definedName name="_xlnm._FilterDatabase" localSheetId="3" hidden="1">'Publiskās cenu atsauces'!$A$1:$D$7</definedName>
  </definedNames>
  <calcPr calcId="0"/>
</workbook>
</file>

<file path=xl/sharedStrings.xml><?xml version="1.0" encoding="utf-8"?>
<sst xmlns="http://schemas.openxmlformats.org/spreadsheetml/2006/main" count="334" uniqueCount="192">
  <si>
    <t>Kategorija</t>
  </si>
  <si>
    <t>Pakalpojums</t>
  </si>
  <si>
    <t>Mērvienība</t>
  </si>
  <si>
    <t>Cena no, €</t>
  </si>
  <si>
    <t>Ieteicamā cena, €</t>
  </si>
  <si>
    <t>Cena līdz, €</t>
  </si>
  <si>
    <t>Kas iekļauts / piezīmes</t>
  </si>
  <si>
    <t>Cenas pamatojums / avots</t>
  </si>
  <si>
    <t>Cenas statuss</t>
  </si>
  <si>
    <t>Žogi, vārti un sētiņas</t>
  </si>
  <si>
    <t>Vienkāršs metāla žogs — izgatavošana un montāža</t>
  </si>
  <si>
    <t>m</t>
  </si>
  <si>
    <t>Parasts krāsots tērauds; cena var ietvert sekcijas un montāžu, bet ne vienmēr stabus, pamatus vai demontāžu.</t>
  </si>
  <si>
    <t>WELDIX publiski norāda žogus no 90 €/m; cena bez PVN, precīza pēc uzmērīšanas.</t>
  </si>
  <si>
    <t>Publiska sākumcena + diapazons</t>
  </si>
  <si>
    <t>Metāla žoga sekcija — izgatavošana bez montāžas</t>
  </si>
  <si>
    <t>m²</t>
  </si>
  <si>
    <t>Cena atkarīga no profiliem, stieņu soļa, raksta, tērauda biezuma un apdares.</t>
  </si>
  <si>
    <t>Aprēķina diapazons, salīdzināms ar individuālu žogu piedāvājumu.</t>
  </si>
  <si>
    <t>Aprēķina diapazons</t>
  </si>
  <si>
    <t>Dekoratīvs / kalts metāla žogs</t>
  </si>
  <si>
    <t>Sarežģīts raksts, kalumi un nestandarta elementi sadārdzina izgatavošanu.</t>
  </si>
  <si>
    <t>Aprēķina diapazons; cena pēc rasējuma.</t>
  </si>
  <si>
    <t>Metāla sētiņa / zema norobežojoša sekcija</t>
  </si>
  <si>
    <t>Vienkārša konstrukcija, parasti zemāka un vieglāka par pilna augstuma žogu.</t>
  </si>
  <si>
    <t>Aprēķina diapazons.</t>
  </si>
  <si>
    <t>Veramie metāla vārti — izgatavošana</t>
  </si>
  <si>
    <t>komplekts</t>
  </si>
  <si>
    <t>Cena atkarīga no ailes platuma, vārtu svara, pildījuma, eņģēm un slēdzenes; automātika atsevišķi.</t>
  </si>
  <si>
    <t>Aprēķina diapazons; WELDIX piedāvā vārtus individuāli kopā ar žogiem.</t>
  </si>
  <si>
    <t>Bīdāmie metāla vārti — izgatavošana</t>
  </si>
  <si>
    <t>Parasti bez automātikas, pamata un elektroinstalācijas; sliedes/konsoles atkarīgas no sistēmas.</t>
  </si>
  <si>
    <t>Aprēķina diapazons; individuāls piedāvājums.</t>
  </si>
  <si>
    <t>Gājēju vārtiņi</t>
  </si>
  <si>
    <t>gab.</t>
  </si>
  <si>
    <t>Rāmis, pildījums, eņģes un slēdzene; stabu un pamatu izmaksas var būt atsevišķi.</t>
  </si>
  <si>
    <t>Vārtu automātikas uzstādīšana</t>
  </si>
  <si>
    <t>Automātikas komplekta cena parasti atsevišķi; elektrības pievads un pamatu darbi nav iekļauti.</t>
  </si>
  <si>
    <t>Margas, balkoni un kāpnes</t>
  </si>
  <si>
    <t>Kāpņu margas — izgatavošana un montāža</t>
  </si>
  <si>
    <t>Krāsots tērauds, standarta profils; sarežģīta ģeometrija un stiprinājumi var palielināt cenu.</t>
  </si>
  <si>
    <t>TM Metals publicē kāpņu margas no 80 €/m + PVN; WELDIX no 100 €/m.</t>
  </si>
  <si>
    <t>Publiskas sākumcenas + diapazons</t>
  </si>
  <si>
    <t>Balkona / terases margas — izgatavošana un montāža</t>
  </si>
  <si>
    <t>Atkarīgs no augstuma, stiprinājuma, pildījuma, piekļuves un korozijas aizsardzības.</t>
  </si>
  <si>
    <t>TM Metals publicē balkona margas no 90 €/m + PVN; WELDIX no 100 €/m.</t>
  </si>
  <si>
    <t>Nerūsējošā tērauda margas</t>
  </si>
  <si>
    <t>AISI 304/316; stikla pildījums un sarežģīti savienojumi parasti sadārdzina.</t>
  </si>
  <si>
    <t>WELDIX publiski norāda nerūsējošā tērauda margas no 180 €/m.</t>
  </si>
  <si>
    <t>Franču balkona metāla margas</t>
  </si>
  <si>
    <t>Cena atkarīga no ailes izmēra, stiprinājuma veida, pildījuma un apdares; montāža jāprecizē.</t>
  </si>
  <si>
    <t>Aprēķina diapazons; TM Metals piedāvā franču balkonus pēc individuāla projekta.</t>
  </si>
  <si>
    <t>Margu remonts / stiprinājumu atjaunošana</t>
  </si>
  <si>
    <t>stundā</t>
  </si>
  <si>
    <t>Mazs remonts; materiāli, piekļuve augstumā un izbraukums var tikt rēķināti atsevišķi.</t>
  </si>
  <si>
    <t>Aprēķina diapazons; metālapstrādes darbi parasti pēc apskates.</t>
  </si>
  <si>
    <t>Metināšana un remonts</t>
  </si>
  <si>
    <t>Metinātāja darbs darbnīcā</t>
  </si>
  <si>
    <t>Parasts tērauds; sagatavošana un materiāls atsevišķi, ja nav noteikts citādi.</t>
  </si>
  <si>
    <t>MASP norāda meistaru likmes 35–60 €/h; citiem darbiem piedāvājums individuāls.</t>
  </si>
  <si>
    <t>Publiska likme + diapazons</t>
  </si>
  <si>
    <t>Metinātājs ar izbraukumu uz objektu</t>
  </si>
  <si>
    <t>Var būt minimālā izsaukuma maksa un ceļa izdevumi; darbi augstumā vai sarežģītā piekļuvē dārgāki.</t>
  </si>
  <si>
    <t>WELDIX piedāvā metināšanu ar izbraukumu; MASP publicē likmes atsevišķiem meistariem.</t>
  </si>
  <si>
    <t>Neliels metināšanas remonts</t>
  </si>
  <si>
    <t>Vārtu eņģe, kronšteins, plaisa vai līdzīgs lokāls remonts; cena pēc apskates.</t>
  </si>
  <si>
    <t>Aprēķina diapazons; var piemērot minimālo izsaukuma maksu.</t>
  </si>
  <si>
    <t>MIG/MAG metināšana sērijveida detaļām</t>
  </si>
  <si>
    <t>Cena atkarīga no šuves garuma, biezuma, pozīcijas, sagatavošanas un apjoma.</t>
  </si>
  <si>
    <t>Aprēķina diapazons; specifikācija nosaka galīgo cenu.</t>
  </si>
  <si>
    <t>TIG metināšana nerūsējošajam tēraudam / alumīnijam</t>
  </si>
  <si>
    <t>Precīzāks darbs; materiāla sagatavošana, piedevas un apdares prasības var būt atsevišķi.</t>
  </si>
  <si>
    <t>Metināšanas šuvju slīpēšana un apdare</t>
  </si>
  <si>
    <t>Atkarīgs no piekļuves, šuves garuma un prasītās vizuālās kvalitātes.</t>
  </si>
  <si>
    <t>Metāla izstrādājumi un konstrukcijas</t>
  </si>
  <si>
    <t>Vienkāršs metāla kronšteins / turētājs</t>
  </si>
  <si>
    <t>Materiāls, caurumi, griezumi un apdare var mainīt cenu; vienas vienības izgatavošana parasti dārgāka.</t>
  </si>
  <si>
    <t>Metāla rāmis / neliela konstrukcija</t>
  </si>
  <si>
    <t>kg</t>
  </si>
  <si>
    <t>Cena par izgatavošanas darbu; materiāls, cinkošana/krāsošana un montāža jāprecizē atsevišķi.</t>
  </si>
  <si>
    <t>Aprēķina diapazons; individuāls rasējums nepieciešams.</t>
  </si>
  <si>
    <t>Metāla galds, statīvs vai plaukta rāmis</t>
  </si>
  <si>
    <t>Bez koka/stikla virsmas un bez sarežģīta dizaina; apdare var būt atsevišķi.</t>
  </si>
  <si>
    <t>Metāla kāpņu karkass</t>
  </si>
  <si>
    <t>Cena atkarīga no stāvu augstuma, slīpuma, slodzes, stiprinājumiem un projekta; pakāpieni atsevišķi.</t>
  </si>
  <si>
    <t>WELDIX piedāvā kāpņu konstrukcijas; cenu nosaka pēc projekta.</t>
  </si>
  <si>
    <t>Nojumes / pergolas metāla karkass</t>
  </si>
  <si>
    <t>Pamatā karkasa izgatavošana un/vai montāža; jumta segums, pamati un projektēšana var būt atsevišķi.</t>
  </si>
  <si>
    <t>Nestandarta metāla izstrādājuma projektēšana / rasējums</t>
  </si>
  <si>
    <t>Cena par projektēšanas vai rasēšanas darbu; aprēķini un sertificēta projekta daļa var maksāt vairāk.</t>
  </si>
  <si>
    <t>Griešana un mehāniskā apstrāde</t>
  </si>
  <si>
    <t>Metāla griešana ar leņķa slīpmašīnu / lentzāģi</t>
  </si>
  <si>
    <t>griezums</t>
  </si>
  <si>
    <t>Vienkāršs griezums; biezums, materiāls un nostiprināšana ietekmē cenu.</t>
  </si>
  <si>
    <t>Plazmas / lāzergriešana</t>
  </si>
  <si>
    <t>Daudzi izpildītāji cenu nosaka pēc faila, materiāla, biezuma un griezuma metriem; materiāls atsevišķi.</t>
  </si>
  <si>
    <t>Aprēķina diapazons; jāprasa piedāvājums pēc DXF faila.</t>
  </si>
  <si>
    <t>Urbšana, vītņošana, caurumu izveide</t>
  </si>
  <si>
    <t>Atkarīgs no diametra, materiāla biezuma un vajadzīgās precizitātes.</t>
  </si>
  <si>
    <t>Metāla locīšana / valcēšana</t>
  </si>
  <si>
    <t>Atkarīga no loksnes biezuma, detaļas garuma, instrumenta sagatavošanas un sērijas.</t>
  </si>
  <si>
    <t>Virsmas aizsardzība un apdare</t>
  </si>
  <si>
    <t>Metāla izstrādājuma gruntēšana un krāsošana</t>
  </si>
  <si>
    <t>Virsmas sagatavošana, rūsas noņemšana un krāsas sistēma būtiski ietekmē cenu.</t>
  </si>
  <si>
    <t>Aprēķina diapazons; virsmas sagatavošanu norādīt atsevišķi.</t>
  </si>
  <si>
    <t>Pulverkrāsošana</t>
  </si>
  <si>
    <t>Atkarīga no detaļu izmēriem, krāsas, priekšapstrādes un minimālās partijas maksas.</t>
  </si>
  <si>
    <t>Aprēķina diapazons; jāprecizē ar krāsotavu.</t>
  </si>
  <si>
    <t>Karstā cinkošana</t>
  </si>
  <si>
    <t>Minimālā partijas maksa, transportēšana un detaļu ģeometrija var būtiski mainīt izmaksas.</t>
  </si>
  <si>
    <t>Budžeta orientieris; pieprasīt cenu konkrētai partijai.</t>
  </si>
  <si>
    <t>Demontāža un utilizācija</t>
  </si>
  <si>
    <t>Metāla žoga demontāža</t>
  </si>
  <si>
    <t>Neietver betona pamatu izlaušanu, dziļu stabu izcelšanu vai metāla aizvešanu, ja nav norādīts citādi.</t>
  </si>
  <si>
    <t>Metāla vārtu / vārtiņu demontāža</t>
  </si>
  <si>
    <t>Atkarīgs no svara, eņģēm, stiprinājumiem, elektrības un nepieciešamās tehnikas.</t>
  </si>
  <si>
    <t>Metāla margu demontāža</t>
  </si>
  <si>
    <t>Neietver fasādes/betona remontu pēc demontāžas; darbs augstumā var būt dārgāks.</t>
  </si>
  <si>
    <t>Metāla konstrukciju griešana un demontāža</t>
  </si>
  <si>
    <t>Bīstamība, konstrukcijas svars, augstums un piekļuve nosaka likmi; nepieciešams objekta novērtējums.</t>
  </si>
  <si>
    <t>Metāllūžņu savākšana un iekraušana</t>
  </si>
  <si>
    <t>Cena par darbu; metāllūžņu vērtība, transports un utilizācijas nosacījumi jāuzskaita atsevišķi.</t>
  </si>
  <si>
    <t>Metāllūžņu aizvešana ar transportu</t>
  </si>
  <si>
    <t>brauciens</t>
  </si>
  <si>
    <t>Atkarīgs no attāluma, svara, iekraušanas, piekļuves un transportlīdzekļa; iespējams atsevišķs svars/tonnas tarifs.</t>
  </si>
  <si>
    <t>Metāllūžņu nodošana / utilizācija</t>
  </si>
  <si>
    <t>t</t>
  </si>
  <si>
    <t>-150</t>
  </si>
  <si>
    <t>0</t>
  </si>
  <si>
    <t>180</t>
  </si>
  <si>
    <t>Orientējošs norēķinu diapazons: dažādiem metāliem var būt samaksa par lūžņiem vai maksa par apstrādi; cena atkarīga no metāla veida, tīrības un aktuālās iepirkuma cenas.</t>
  </si>
  <si>
    <t>Cena ļoti mainīga; pirms nodošanas pārbaudīt pieņemšanas punkta aktuālo tarifu.</t>
  </si>
  <si>
    <t>Mainīga tirgus cena</t>
  </si>
  <si>
    <t>Būvniecības metāla atkritumu šķirošana</t>
  </si>
  <si>
    <t>Nesajauktus metālus šķirot vieglāk; bīstami vai piesārņoti materiāli jāvērtē atsevišķi.</t>
  </si>
  <si>
    <t>Izbraukums un palīgdarbi</t>
  </si>
  <si>
    <t>Meistara / montāžas brigādes izbraukums</t>
  </si>
  <si>
    <t>izbraukums</t>
  </si>
  <si>
    <t>Var būt atsevišķi no darba stundām; attālums un transporta vajadzības maina cenu.</t>
  </si>
  <si>
    <t>Uzmērīšana objektā un sākotnējā tāme</t>
  </si>
  <si>
    <t>reize</t>
  </si>
  <si>
    <t>Daži uzņēmumi uzmērīšanu iekļauj pasūtījumā; attālos objektos var piemērot maksu.</t>
  </si>
  <si>
    <t>Aprēķina diapazons; jāvienojas pirms vizītes.</t>
  </si>
  <si>
    <t>Materiālu piegāde un izstrādājuma montāža</t>
  </si>
  <si>
    <t>Materiālu un celtņa/manipulatora izmaksas atsevišķi; smagiem elementiem vajadzīga tehnika.</t>
  </si>
  <si>
    <t>Darbu_skaits</t>
  </si>
  <si>
    <t>Metodika un cenu interpretācija</t>
  </si>
  <si>
    <t>Cenas paredzētas 2026. gada budžeta plānošanai Latvijā; tās nav garantēts komercpiedāvājums.</t>
  </si>
  <si>
    <t>Publiski atrodamās sākumcenas žogiem un margām ir norādītas avotu kolonnā. Pārējām pozīcijām bieži nav vienotas publiskas cenas, tāpēc dots aptuvens aprēķina diapazons.</t>
  </si>
  <si>
    <t>PVN: vairākas publiskās sākumcenas norādītas bez PVN vai +PVN. Katrā piedāvājumā pārbaudīt, vai PVN ir iekļauts.</t>
  </si>
  <si>
    <t>Materiāls, pamati, stiprinājumi, furnitūra, automātika, virsmas sagatavošana, pulverkrāsošana/cinkošana, transports, tehnika un demontāža var būt atsevišķas pozīcijas.</t>
  </si>
  <si>
    <t>Metāllūžņu cena ir mainīga un atkarīga no metāla veida, tīrības, apjoma un pieņemšanas punkta. Negatīva cena šajā pozīcijā nozīmē iespējamu samaksu klientam par nodotajiem lūžņiem, nevis pakalpojuma maksu.</t>
  </si>
  <si>
    <t>Avots</t>
  </si>
  <si>
    <t>Ko izmantoju</t>
  </si>
  <si>
    <t>Saite</t>
  </si>
  <si>
    <t>WELDIX — žogi un margas</t>
  </si>
  <si>
    <t>Metāla žogi no 90 €/m; balkonu/kāpņu margas no 100 €/m; nerūsējošā tērauda margas no 180 €/m; cena aptuvena un bez PVN kalkulatorā.</t>
  </si>
  <si>
    <t>https://weldix.lv/pakalpojumi/margas-un-zogi</t>
  </si>
  <si>
    <t>TM Metals — balkonu margas</t>
  </si>
  <si>
    <t>Balkona margas no 90 €/m + PVN; kāpņu margas no 80 €/m + PVN; individuāls piedāvājums pēc izmēriem.</t>
  </si>
  <si>
    <t>https://tmmetals.lv/margas-un-francu-balkoni/</t>
  </si>
  <si>
    <t>TM Metals — balkona margas</t>
  </si>
  <si>
    <t>Apraksta materiālu, stiprinājumu un montāžas atkarību no objekta; piemēra terases margas 80 €/m + PVN pie apjoma virs 10 m.</t>
  </si>
  <si>
    <t>https://tmmetals.lv/balkona-margas/</t>
  </si>
  <si>
    <t>MASP — metālapstrādes uzņēmumi</t>
  </si>
  <si>
    <t>Platformā norādīti atsevišķi meistaru likmju piemēri 35–60 €/h un metālapstrādes pakalpojumi; nav uzskatāms par visu tirgu.</t>
  </si>
  <si>
    <t>https://masp.lv/metalapstrade/zogi-varti/</t>
  </si>
  <si>
    <t>GKMetalWorks</t>
  </si>
  <si>
    <t>Piedāvā metināšanu, žogu/vārtu izgatavošanu un remontu, margas un metāla konstrukcijas; cenas pēc individuāla projekta.</t>
  </si>
  <si>
    <t>https://www.gkmetal.lv/pakalpojumi-un-cena</t>
  </si>
  <si>
    <t>Metodika</t>
  </si>
  <si>
    <t>Cenas ir 2026. gada orientējoši budžeta diapazoni Latvijā. Publiskās sākumcenas ir atzīmētas atsevišķi; pārējās pozīcijas ir aprēķina diapazoni, nevis pārbaudītas uzņēmumu cenu lapas.</t>
  </si>
  <si>
    <t>Publicētā sākumcena</t>
  </si>
  <si>
    <t>PVN / nosacījumi</t>
  </si>
  <si>
    <t>Metāla žogs</t>
  </si>
  <si>
    <t>no 90 €/m</t>
  </si>
  <si>
    <t>Precīza cena pēc uzmērīšanas; kalkulatora cenas bez PVN</t>
  </si>
  <si>
    <t>WELDIX — https://weldix.lv/pakalpojumi/margas-un-zogi</t>
  </si>
  <si>
    <t>Balkonu margas</t>
  </si>
  <si>
    <t>no 100 €/m</t>
  </si>
  <si>
    <t>WELDIX; kalkulatora cenas bez PVN</t>
  </si>
  <si>
    <t>no 180 €/m</t>
  </si>
  <si>
    <t>WELDIX; precīza cena pēc uzmērīšanas</t>
  </si>
  <si>
    <t>Kāpņu margas</t>
  </si>
  <si>
    <t>no 80 €/m</t>
  </si>
  <si>
    <t>+PVN</t>
  </si>
  <si>
    <t>TM Metals — https://tmmetals.lv/margas-un-francu-balkoni/</t>
  </si>
  <si>
    <t>Balkona margas</t>
  </si>
  <si>
    <t>Metinātāja likme</t>
  </si>
  <si>
    <t>35–60 €/h</t>
  </si>
  <si>
    <t>Platformā norādīti atsevišķu meistaru likmju piemēri, nevis nozares vidējā cena</t>
  </si>
  <si>
    <t>MASP — https://masp.lv/metalapstrade/zogi-varti/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</si>
</sst>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&quot; €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9BD5"/>
      </bottom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0" fontId="1" fillId="2" borderId="0" xfId="0" applyFont="1" applyFill="1" applyAlignment="1">
      <alignment wrapText="1"/>
    </xf>
    <xf numFmtId="0" fontId="1" fillId="2" borderId="2" xfId="0" applyFont="1" applyFill="1" applyBorder="1" applyAlignment="1">
      <alignment vertical="top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tmmetals.lv/balkona-margas/" TargetMode="External"/><Relationship Id="rId2" Type="http://schemas.openxmlformats.org/officeDocument/2006/relationships/hyperlink" Target="https://tmmetals.lv/margas-un-francu-balkoni/" TargetMode="External"/><Relationship Id="rId1" Type="http://schemas.openxmlformats.org/officeDocument/2006/relationships/hyperlink" Target="https://weldix.lv/pakalpojumi/margas-un-zogi" TargetMode="External"/><Relationship Id="rId5" Type="http://schemas.openxmlformats.org/officeDocument/2006/relationships/hyperlink" Target="https://www.gkmetal.lv/pakalpojumi-un-cena" TargetMode="External"/><Relationship Id="rId4" Type="http://schemas.openxmlformats.org/officeDocument/2006/relationships/hyperlink" Target="https://masp.lv/metalapstrade/zogi-vart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9" customWidth="1"/>
    <col min="2" max="2" width="44" customWidth="1"/>
    <col min="3" max="3" width="19" customWidth="1"/>
    <col min="4" max="4" width="15" customWidth="1"/>
    <col min="5" max="5" width="19" customWidth="1"/>
    <col min="6" max="6" width="15" customWidth="1"/>
    <col min="7" max="7" width="66" customWidth="1"/>
    <col min="8" max="8" width="65" customWidth="1"/>
    <col min="9" max="9" width="28" customWidth="1"/>
  </cols>
  <sheetData>
    <row r="1" spans="1:9" ht="37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2" t="s">
        <v>10</v>
      </c>
      <c r="C2" s="2" t="s">
        <v>11</v>
      </c>
      <c r="D2" s="3">
        <v>90</v>
      </c>
      <c r="E2" s="3">
        <v>120</v>
      </c>
      <c r="F2" s="3">
        <v>190</v>
      </c>
      <c r="G2" s="2" t="s">
        <v>12</v>
      </c>
      <c r="H2" s="2" t="s">
        <v>13</v>
      </c>
      <c r="I2" s="2" t="s">
        <v>14</v>
      </c>
    </row>
    <row r="3" spans="1:9" x14ac:dyDescent="0.3">
      <c r="A3" s="2" t="s">
        <v>9</v>
      </c>
      <c r="B3" s="2" t="s">
        <v>15</v>
      </c>
      <c r="C3" s="2" t="s">
        <v>16</v>
      </c>
      <c r="D3" s="3">
        <v>65</v>
      </c>
      <c r="E3" s="3">
        <v>95</v>
      </c>
      <c r="F3" s="3">
        <v>150</v>
      </c>
      <c r="G3" s="2" t="s">
        <v>17</v>
      </c>
      <c r="H3" s="2" t="s">
        <v>18</v>
      </c>
      <c r="I3" s="2" t="s">
        <v>19</v>
      </c>
    </row>
    <row r="4" spans="1:9" x14ac:dyDescent="0.3">
      <c r="A4" s="2" t="s">
        <v>9</v>
      </c>
      <c r="B4" s="2" t="s">
        <v>20</v>
      </c>
      <c r="C4" s="2" t="s">
        <v>11</v>
      </c>
      <c r="D4" s="3">
        <v>130</v>
      </c>
      <c r="E4" s="3">
        <v>190</v>
      </c>
      <c r="F4" s="3">
        <v>320</v>
      </c>
      <c r="G4" s="2" t="s">
        <v>21</v>
      </c>
      <c r="H4" s="2" t="s">
        <v>22</v>
      </c>
      <c r="I4" s="2" t="s">
        <v>19</v>
      </c>
    </row>
    <row r="5" spans="1:9" x14ac:dyDescent="0.3">
      <c r="A5" s="2" t="s">
        <v>9</v>
      </c>
      <c r="B5" s="2" t="s">
        <v>23</v>
      </c>
      <c r="C5" s="2" t="s">
        <v>11</v>
      </c>
      <c r="D5" s="3">
        <v>55</v>
      </c>
      <c r="E5" s="3">
        <v>85</v>
      </c>
      <c r="F5" s="3">
        <v>140</v>
      </c>
      <c r="G5" s="2" t="s">
        <v>24</v>
      </c>
      <c r="H5" s="2" t="s">
        <v>25</v>
      </c>
      <c r="I5" s="2" t="s">
        <v>19</v>
      </c>
    </row>
    <row r="6" spans="1:9" ht="28.8" x14ac:dyDescent="0.3">
      <c r="A6" s="2" t="s">
        <v>9</v>
      </c>
      <c r="B6" s="2" t="s">
        <v>26</v>
      </c>
      <c r="C6" s="2" t="s">
        <v>27</v>
      </c>
      <c r="D6" s="3">
        <v>450</v>
      </c>
      <c r="E6" s="3">
        <v>850</v>
      </c>
      <c r="F6" s="3">
        <v>1600</v>
      </c>
      <c r="G6" s="2" t="s">
        <v>28</v>
      </c>
      <c r="H6" s="2" t="s">
        <v>29</v>
      </c>
      <c r="I6" s="2" t="s">
        <v>19</v>
      </c>
    </row>
    <row r="7" spans="1:9" ht="28.8" x14ac:dyDescent="0.3">
      <c r="A7" s="2" t="s">
        <v>9</v>
      </c>
      <c r="B7" s="2" t="s">
        <v>30</v>
      </c>
      <c r="C7" s="2" t="s">
        <v>27</v>
      </c>
      <c r="D7" s="3">
        <v>850</v>
      </c>
      <c r="E7" s="3">
        <v>1450</v>
      </c>
      <c r="F7" s="3">
        <v>2600</v>
      </c>
      <c r="G7" s="2" t="s">
        <v>31</v>
      </c>
      <c r="H7" s="2" t="s">
        <v>32</v>
      </c>
      <c r="I7" s="2" t="s">
        <v>19</v>
      </c>
    </row>
    <row r="8" spans="1:9" ht="28.8" x14ac:dyDescent="0.3">
      <c r="A8" s="2" t="s">
        <v>9</v>
      </c>
      <c r="B8" s="2" t="s">
        <v>33</v>
      </c>
      <c r="C8" s="2" t="s">
        <v>34</v>
      </c>
      <c r="D8" s="3">
        <v>180</v>
      </c>
      <c r="E8" s="3">
        <v>320</v>
      </c>
      <c r="F8" s="3">
        <v>600</v>
      </c>
      <c r="G8" s="2" t="s">
        <v>35</v>
      </c>
      <c r="H8" s="2" t="s">
        <v>25</v>
      </c>
      <c r="I8" s="2" t="s">
        <v>19</v>
      </c>
    </row>
    <row r="9" spans="1:9" ht="28.8" x14ac:dyDescent="0.3">
      <c r="A9" s="2" t="s">
        <v>9</v>
      </c>
      <c r="B9" s="2" t="s">
        <v>36</v>
      </c>
      <c r="C9" s="2" t="s">
        <v>27</v>
      </c>
      <c r="D9" s="3">
        <v>180</v>
      </c>
      <c r="E9" s="3">
        <v>350</v>
      </c>
      <c r="F9" s="3">
        <v>650</v>
      </c>
      <c r="G9" s="2" t="s">
        <v>37</v>
      </c>
      <c r="H9" s="2" t="s">
        <v>25</v>
      </c>
      <c r="I9" s="2" t="s">
        <v>19</v>
      </c>
    </row>
    <row r="10" spans="1:9" ht="28.8" x14ac:dyDescent="0.3">
      <c r="A10" s="2" t="s">
        <v>38</v>
      </c>
      <c r="B10" s="2" t="s">
        <v>39</v>
      </c>
      <c r="C10" s="2" t="s">
        <v>11</v>
      </c>
      <c r="D10" s="3">
        <v>80</v>
      </c>
      <c r="E10" s="3">
        <v>115</v>
      </c>
      <c r="F10" s="3">
        <v>180</v>
      </c>
      <c r="G10" s="2" t="s">
        <v>40</v>
      </c>
      <c r="H10" s="2" t="s">
        <v>41</v>
      </c>
      <c r="I10" s="2" t="s">
        <v>42</v>
      </c>
    </row>
    <row r="11" spans="1:9" ht="28.8" x14ac:dyDescent="0.3">
      <c r="A11" s="2" t="s">
        <v>38</v>
      </c>
      <c r="B11" s="2" t="s">
        <v>43</v>
      </c>
      <c r="C11" s="2" t="s">
        <v>11</v>
      </c>
      <c r="D11" s="3">
        <v>90</v>
      </c>
      <c r="E11" s="3">
        <v>125</v>
      </c>
      <c r="F11" s="3">
        <v>200</v>
      </c>
      <c r="G11" s="2" t="s">
        <v>44</v>
      </c>
      <c r="H11" s="2" t="s">
        <v>45</v>
      </c>
      <c r="I11" s="2" t="s">
        <v>42</v>
      </c>
    </row>
    <row r="12" spans="1:9" x14ac:dyDescent="0.3">
      <c r="A12" s="2" t="s">
        <v>38</v>
      </c>
      <c r="B12" s="2" t="s">
        <v>46</v>
      </c>
      <c r="C12" s="2" t="s">
        <v>11</v>
      </c>
      <c r="D12" s="3">
        <v>150</v>
      </c>
      <c r="E12" s="3">
        <v>210</v>
      </c>
      <c r="F12" s="3">
        <v>320</v>
      </c>
      <c r="G12" s="2" t="s">
        <v>47</v>
      </c>
      <c r="H12" s="2" t="s">
        <v>48</v>
      </c>
      <c r="I12" s="2" t="s">
        <v>14</v>
      </c>
    </row>
    <row r="13" spans="1:9" ht="28.8" x14ac:dyDescent="0.3">
      <c r="A13" s="2" t="s">
        <v>38</v>
      </c>
      <c r="B13" s="2" t="s">
        <v>49</v>
      </c>
      <c r="C13" s="2" t="s">
        <v>34</v>
      </c>
      <c r="D13" s="3">
        <v>180</v>
      </c>
      <c r="E13" s="3">
        <v>300</v>
      </c>
      <c r="F13" s="3">
        <v>550</v>
      </c>
      <c r="G13" s="2" t="s">
        <v>50</v>
      </c>
      <c r="H13" s="2" t="s">
        <v>51</v>
      </c>
      <c r="I13" s="2" t="s">
        <v>19</v>
      </c>
    </row>
    <row r="14" spans="1:9" ht="28.8" x14ac:dyDescent="0.3">
      <c r="A14" s="2" t="s">
        <v>38</v>
      </c>
      <c r="B14" s="2" t="s">
        <v>52</v>
      </c>
      <c r="C14" s="2" t="s">
        <v>53</v>
      </c>
      <c r="D14" s="3">
        <v>25</v>
      </c>
      <c r="E14" s="3">
        <v>40</v>
      </c>
      <c r="F14" s="3">
        <v>65</v>
      </c>
      <c r="G14" s="2" t="s">
        <v>54</v>
      </c>
      <c r="H14" s="2" t="s">
        <v>55</v>
      </c>
      <c r="I14" s="2" t="s">
        <v>19</v>
      </c>
    </row>
    <row r="15" spans="1:9" ht="28.8" x14ac:dyDescent="0.3">
      <c r="A15" s="2" t="s">
        <v>56</v>
      </c>
      <c r="B15" s="2" t="s">
        <v>57</v>
      </c>
      <c r="C15" s="2" t="s">
        <v>53</v>
      </c>
      <c r="D15" s="3">
        <v>25</v>
      </c>
      <c r="E15" s="3">
        <v>40</v>
      </c>
      <c r="F15" s="3">
        <v>60</v>
      </c>
      <c r="G15" s="2" t="s">
        <v>58</v>
      </c>
      <c r="H15" s="2" t="s">
        <v>59</v>
      </c>
      <c r="I15" s="2" t="s">
        <v>60</v>
      </c>
    </row>
    <row r="16" spans="1:9" ht="28.8" x14ac:dyDescent="0.3">
      <c r="A16" s="2" t="s">
        <v>56</v>
      </c>
      <c r="B16" s="2" t="s">
        <v>61</v>
      </c>
      <c r="C16" s="2" t="s">
        <v>53</v>
      </c>
      <c r="D16" s="3">
        <v>35</v>
      </c>
      <c r="E16" s="3">
        <v>50</v>
      </c>
      <c r="F16" s="3">
        <v>75</v>
      </c>
      <c r="G16" s="2" t="s">
        <v>62</v>
      </c>
      <c r="H16" s="2" t="s">
        <v>63</v>
      </c>
      <c r="I16" s="2" t="s">
        <v>19</v>
      </c>
    </row>
    <row r="17" spans="1:9" x14ac:dyDescent="0.3">
      <c r="A17" s="2" t="s">
        <v>56</v>
      </c>
      <c r="B17" s="2" t="s">
        <v>64</v>
      </c>
      <c r="C17" s="2" t="s">
        <v>34</v>
      </c>
      <c r="D17" s="3">
        <v>30</v>
      </c>
      <c r="E17" s="3">
        <v>60</v>
      </c>
      <c r="F17" s="3">
        <v>150</v>
      </c>
      <c r="G17" s="2" t="s">
        <v>65</v>
      </c>
      <c r="H17" s="2" t="s">
        <v>66</v>
      </c>
      <c r="I17" s="2" t="s">
        <v>19</v>
      </c>
    </row>
    <row r="18" spans="1:9" x14ac:dyDescent="0.3">
      <c r="A18" s="2" t="s">
        <v>56</v>
      </c>
      <c r="B18" s="2" t="s">
        <v>67</v>
      </c>
      <c r="C18" s="2" t="s">
        <v>53</v>
      </c>
      <c r="D18" s="3">
        <v>25</v>
      </c>
      <c r="E18" s="3">
        <v>38</v>
      </c>
      <c r="F18" s="3">
        <v>55</v>
      </c>
      <c r="G18" s="2" t="s">
        <v>68</v>
      </c>
      <c r="H18" s="2" t="s">
        <v>69</v>
      </c>
      <c r="I18" s="2" t="s">
        <v>19</v>
      </c>
    </row>
    <row r="19" spans="1:9" ht="28.8" x14ac:dyDescent="0.3">
      <c r="A19" s="2" t="s">
        <v>56</v>
      </c>
      <c r="B19" s="2" t="s">
        <v>70</v>
      </c>
      <c r="C19" s="2" t="s">
        <v>53</v>
      </c>
      <c r="D19" s="3">
        <v>35</v>
      </c>
      <c r="E19" s="3">
        <v>50</v>
      </c>
      <c r="F19" s="3">
        <v>75</v>
      </c>
      <c r="G19" s="2" t="s">
        <v>71</v>
      </c>
      <c r="H19" s="2" t="s">
        <v>25</v>
      </c>
      <c r="I19" s="2" t="s">
        <v>19</v>
      </c>
    </row>
    <row r="20" spans="1:9" x14ac:dyDescent="0.3">
      <c r="A20" s="2" t="s">
        <v>56</v>
      </c>
      <c r="B20" s="2" t="s">
        <v>72</v>
      </c>
      <c r="C20" s="2" t="s">
        <v>53</v>
      </c>
      <c r="D20" s="3">
        <v>22</v>
      </c>
      <c r="E20" s="3">
        <v>35</v>
      </c>
      <c r="F20" s="3">
        <v>55</v>
      </c>
      <c r="G20" s="2" t="s">
        <v>73</v>
      </c>
      <c r="H20" s="2" t="s">
        <v>25</v>
      </c>
      <c r="I20" s="2" t="s">
        <v>19</v>
      </c>
    </row>
    <row r="21" spans="1:9" ht="28.8" x14ac:dyDescent="0.3">
      <c r="A21" s="2" t="s">
        <v>74</v>
      </c>
      <c r="B21" s="2" t="s">
        <v>75</v>
      </c>
      <c r="C21" s="2" t="s">
        <v>34</v>
      </c>
      <c r="D21" s="3">
        <v>15</v>
      </c>
      <c r="E21" s="3">
        <v>35</v>
      </c>
      <c r="F21" s="3">
        <v>90</v>
      </c>
      <c r="G21" s="2" t="s">
        <v>76</v>
      </c>
      <c r="H21" s="2" t="s">
        <v>25</v>
      </c>
      <c r="I21" s="2" t="s">
        <v>19</v>
      </c>
    </row>
    <row r="22" spans="1:9" ht="28.8" x14ac:dyDescent="0.3">
      <c r="A22" s="2" t="s">
        <v>74</v>
      </c>
      <c r="B22" s="2" t="s">
        <v>77</v>
      </c>
      <c r="C22" s="2" t="s">
        <v>78</v>
      </c>
      <c r="D22" s="3">
        <v>3</v>
      </c>
      <c r="E22" s="3">
        <v>5</v>
      </c>
      <c r="F22" s="3">
        <v>9</v>
      </c>
      <c r="G22" s="2" t="s">
        <v>79</v>
      </c>
      <c r="H22" s="2" t="s">
        <v>80</v>
      </c>
      <c r="I22" s="2" t="s">
        <v>19</v>
      </c>
    </row>
    <row r="23" spans="1:9" ht="28.8" x14ac:dyDescent="0.3">
      <c r="A23" s="2" t="s">
        <v>74</v>
      </c>
      <c r="B23" s="2" t="s">
        <v>81</v>
      </c>
      <c r="C23" s="2" t="s">
        <v>34</v>
      </c>
      <c r="D23" s="3">
        <v>120</v>
      </c>
      <c r="E23" s="3">
        <v>250</v>
      </c>
      <c r="F23" s="3">
        <v>600</v>
      </c>
      <c r="G23" s="2" t="s">
        <v>82</v>
      </c>
      <c r="H23" s="2" t="s">
        <v>25</v>
      </c>
      <c r="I23" s="2" t="s">
        <v>19</v>
      </c>
    </row>
    <row r="24" spans="1:9" ht="28.8" x14ac:dyDescent="0.3">
      <c r="A24" s="2" t="s">
        <v>74</v>
      </c>
      <c r="B24" s="2" t="s">
        <v>83</v>
      </c>
      <c r="C24" s="2" t="s">
        <v>27</v>
      </c>
      <c r="D24" s="3">
        <v>900</v>
      </c>
      <c r="E24" s="3">
        <v>1700</v>
      </c>
      <c r="F24" s="3">
        <v>3500</v>
      </c>
      <c r="G24" s="2" t="s">
        <v>84</v>
      </c>
      <c r="H24" s="2" t="s">
        <v>85</v>
      </c>
      <c r="I24" s="2" t="s">
        <v>19</v>
      </c>
    </row>
    <row r="25" spans="1:9" ht="28.8" x14ac:dyDescent="0.3">
      <c r="A25" s="2" t="s">
        <v>74</v>
      </c>
      <c r="B25" s="2" t="s">
        <v>86</v>
      </c>
      <c r="C25" s="2" t="s">
        <v>16</v>
      </c>
      <c r="D25" s="3">
        <v>90</v>
      </c>
      <c r="E25" s="3">
        <v>150</v>
      </c>
      <c r="F25" s="3">
        <v>260</v>
      </c>
      <c r="G25" s="2" t="s">
        <v>87</v>
      </c>
      <c r="H25" s="2" t="s">
        <v>25</v>
      </c>
      <c r="I25" s="2" t="s">
        <v>19</v>
      </c>
    </row>
    <row r="26" spans="1:9" ht="28.8" x14ac:dyDescent="0.3">
      <c r="A26" s="2" t="s">
        <v>74</v>
      </c>
      <c r="B26" s="2" t="s">
        <v>88</v>
      </c>
      <c r="C26" s="2" t="s">
        <v>53</v>
      </c>
      <c r="D26" s="3">
        <v>25</v>
      </c>
      <c r="E26" s="3">
        <v>40</v>
      </c>
      <c r="F26" s="3">
        <v>65</v>
      </c>
      <c r="G26" s="2" t="s">
        <v>89</v>
      </c>
      <c r="H26" s="2" t="s">
        <v>25</v>
      </c>
      <c r="I26" s="2" t="s">
        <v>19</v>
      </c>
    </row>
    <row r="27" spans="1:9" x14ac:dyDescent="0.3">
      <c r="A27" s="2" t="s">
        <v>90</v>
      </c>
      <c r="B27" s="2" t="s">
        <v>91</v>
      </c>
      <c r="C27" s="2" t="s">
        <v>92</v>
      </c>
      <c r="D27" s="3">
        <v>2</v>
      </c>
      <c r="E27" s="3">
        <v>5</v>
      </c>
      <c r="F27" s="3">
        <v>12</v>
      </c>
      <c r="G27" s="2" t="s">
        <v>93</v>
      </c>
      <c r="H27" s="2" t="s">
        <v>25</v>
      </c>
      <c r="I27" s="2" t="s">
        <v>19</v>
      </c>
    </row>
    <row r="28" spans="1:9" ht="28.8" x14ac:dyDescent="0.3">
      <c r="A28" s="2" t="s">
        <v>90</v>
      </c>
      <c r="B28" s="2" t="s">
        <v>94</v>
      </c>
      <c r="C28" s="2" t="s">
        <v>53</v>
      </c>
      <c r="D28" s="3">
        <v>35</v>
      </c>
      <c r="E28" s="3">
        <v>60</v>
      </c>
      <c r="F28" s="3">
        <v>100</v>
      </c>
      <c r="G28" s="2" t="s">
        <v>95</v>
      </c>
      <c r="H28" s="2" t="s">
        <v>96</v>
      </c>
      <c r="I28" s="2" t="s">
        <v>19</v>
      </c>
    </row>
    <row r="29" spans="1:9" x14ac:dyDescent="0.3">
      <c r="A29" s="2" t="s">
        <v>90</v>
      </c>
      <c r="B29" s="2" t="s">
        <v>97</v>
      </c>
      <c r="C29" s="2" t="s">
        <v>34</v>
      </c>
      <c r="D29" s="3">
        <v>2</v>
      </c>
      <c r="E29" s="3">
        <v>5</v>
      </c>
      <c r="F29" s="3">
        <v>15</v>
      </c>
      <c r="G29" s="2" t="s">
        <v>98</v>
      </c>
      <c r="H29" s="2" t="s">
        <v>25</v>
      </c>
      <c r="I29" s="2" t="s">
        <v>19</v>
      </c>
    </row>
    <row r="30" spans="1:9" ht="28.8" x14ac:dyDescent="0.3">
      <c r="A30" s="2" t="s">
        <v>90</v>
      </c>
      <c r="B30" s="2" t="s">
        <v>99</v>
      </c>
      <c r="C30" s="2" t="s">
        <v>53</v>
      </c>
      <c r="D30" s="3">
        <v>30</v>
      </c>
      <c r="E30" s="3">
        <v>50</v>
      </c>
      <c r="F30" s="3">
        <v>85</v>
      </c>
      <c r="G30" s="2" t="s">
        <v>100</v>
      </c>
      <c r="H30" s="2" t="s">
        <v>25</v>
      </c>
      <c r="I30" s="2" t="s">
        <v>19</v>
      </c>
    </row>
    <row r="31" spans="1:9" ht="28.8" x14ac:dyDescent="0.3">
      <c r="A31" s="2" t="s">
        <v>101</v>
      </c>
      <c r="B31" s="2" t="s">
        <v>102</v>
      </c>
      <c r="C31" s="2" t="s">
        <v>16</v>
      </c>
      <c r="D31" s="3">
        <v>18</v>
      </c>
      <c r="E31" s="3">
        <v>28</v>
      </c>
      <c r="F31" s="3">
        <v>45</v>
      </c>
      <c r="G31" s="2" t="s">
        <v>103</v>
      </c>
      <c r="H31" s="2" t="s">
        <v>104</v>
      </c>
      <c r="I31" s="2" t="s">
        <v>19</v>
      </c>
    </row>
    <row r="32" spans="1:9" ht="28.8" x14ac:dyDescent="0.3">
      <c r="A32" s="2" t="s">
        <v>101</v>
      </c>
      <c r="B32" s="2" t="s">
        <v>105</v>
      </c>
      <c r="C32" s="2" t="s">
        <v>16</v>
      </c>
      <c r="D32" s="3">
        <v>20</v>
      </c>
      <c r="E32" s="3">
        <v>32</v>
      </c>
      <c r="F32" s="3">
        <v>50</v>
      </c>
      <c r="G32" s="2" t="s">
        <v>106</v>
      </c>
      <c r="H32" s="2" t="s">
        <v>107</v>
      </c>
      <c r="I32" s="2" t="s">
        <v>19</v>
      </c>
    </row>
    <row r="33" spans="1:9" ht="28.8" x14ac:dyDescent="0.3">
      <c r="A33" s="2" t="s">
        <v>101</v>
      </c>
      <c r="B33" s="2" t="s">
        <v>108</v>
      </c>
      <c r="C33" s="2" t="s">
        <v>78</v>
      </c>
      <c r="D33" s="3">
        <v>1.2</v>
      </c>
      <c r="E33" s="3">
        <v>2</v>
      </c>
      <c r="F33" s="3">
        <v>3.5</v>
      </c>
      <c r="G33" s="2" t="s">
        <v>109</v>
      </c>
      <c r="H33" s="2" t="s">
        <v>110</v>
      </c>
      <c r="I33" s="2" t="s">
        <v>19</v>
      </c>
    </row>
    <row r="34" spans="1:9" ht="28.8" x14ac:dyDescent="0.3">
      <c r="A34" s="2" t="s">
        <v>111</v>
      </c>
      <c r="B34" s="2" t="s">
        <v>112</v>
      </c>
      <c r="C34" s="2" t="s">
        <v>11</v>
      </c>
      <c r="D34" s="3">
        <v>8</v>
      </c>
      <c r="E34" s="3">
        <v>15</v>
      </c>
      <c r="F34" s="3">
        <v>28</v>
      </c>
      <c r="G34" s="2" t="s">
        <v>113</v>
      </c>
      <c r="H34" s="2" t="s">
        <v>25</v>
      </c>
      <c r="I34" s="2" t="s">
        <v>19</v>
      </c>
    </row>
    <row r="35" spans="1:9" ht="28.8" x14ac:dyDescent="0.3">
      <c r="A35" s="2" t="s">
        <v>111</v>
      </c>
      <c r="B35" s="2" t="s">
        <v>114</v>
      </c>
      <c r="C35" s="2" t="s">
        <v>27</v>
      </c>
      <c r="D35" s="3">
        <v>50</v>
      </c>
      <c r="E35" s="3">
        <v>100</v>
      </c>
      <c r="F35" s="3">
        <v>220</v>
      </c>
      <c r="G35" s="2" t="s">
        <v>115</v>
      </c>
      <c r="H35" s="2" t="s">
        <v>25</v>
      </c>
      <c r="I35" s="2" t="s">
        <v>19</v>
      </c>
    </row>
    <row r="36" spans="1:9" ht="28.8" x14ac:dyDescent="0.3">
      <c r="A36" s="2" t="s">
        <v>111</v>
      </c>
      <c r="B36" s="2" t="s">
        <v>116</v>
      </c>
      <c r="C36" s="2" t="s">
        <v>11</v>
      </c>
      <c r="D36" s="3">
        <v>10</v>
      </c>
      <c r="E36" s="3">
        <v>20</v>
      </c>
      <c r="F36" s="3">
        <v>40</v>
      </c>
      <c r="G36" s="2" t="s">
        <v>117</v>
      </c>
      <c r="H36" s="2" t="s">
        <v>25</v>
      </c>
      <c r="I36" s="2" t="s">
        <v>19</v>
      </c>
    </row>
    <row r="37" spans="1:9" ht="28.8" x14ac:dyDescent="0.3">
      <c r="A37" s="2" t="s">
        <v>111</v>
      </c>
      <c r="B37" s="2" t="s">
        <v>118</v>
      </c>
      <c r="C37" s="2" t="s">
        <v>53</v>
      </c>
      <c r="D37" s="3">
        <v>30</v>
      </c>
      <c r="E37" s="3">
        <v>50</v>
      </c>
      <c r="F37" s="3">
        <v>80</v>
      </c>
      <c r="G37" s="2" t="s">
        <v>119</v>
      </c>
      <c r="H37" s="2" t="s">
        <v>25</v>
      </c>
      <c r="I37" s="2" t="s">
        <v>19</v>
      </c>
    </row>
    <row r="38" spans="1:9" ht="28.8" x14ac:dyDescent="0.3">
      <c r="A38" s="2" t="s">
        <v>111</v>
      </c>
      <c r="B38" s="2" t="s">
        <v>120</v>
      </c>
      <c r="C38" s="2" t="s">
        <v>53</v>
      </c>
      <c r="D38" s="3">
        <v>25</v>
      </c>
      <c r="E38" s="3">
        <v>40</v>
      </c>
      <c r="F38" s="3">
        <v>65</v>
      </c>
      <c r="G38" s="2" t="s">
        <v>121</v>
      </c>
      <c r="H38" s="2" t="s">
        <v>25</v>
      </c>
      <c r="I38" s="2" t="s">
        <v>19</v>
      </c>
    </row>
    <row r="39" spans="1:9" ht="28.8" x14ac:dyDescent="0.3">
      <c r="A39" s="2" t="s">
        <v>111</v>
      </c>
      <c r="B39" s="2" t="s">
        <v>122</v>
      </c>
      <c r="C39" s="2" t="s">
        <v>123</v>
      </c>
      <c r="D39" s="3">
        <v>50</v>
      </c>
      <c r="E39" s="3">
        <v>100</v>
      </c>
      <c r="F39" s="3">
        <v>220</v>
      </c>
      <c r="G39" s="2" t="s">
        <v>124</v>
      </c>
      <c r="H39" s="2" t="s">
        <v>25</v>
      </c>
      <c r="I39" s="2" t="s">
        <v>19</v>
      </c>
    </row>
    <row r="40" spans="1:9" ht="43.2" x14ac:dyDescent="0.3">
      <c r="A40" s="2" t="s">
        <v>111</v>
      </c>
      <c r="B40" s="2" t="s">
        <v>125</v>
      </c>
      <c r="C40" s="2" t="s">
        <v>126</v>
      </c>
      <c r="D40" s="2" t="s">
        <v>127</v>
      </c>
      <c r="E40" s="2" t="s">
        <v>128</v>
      </c>
      <c r="F40" s="2" t="s">
        <v>129</v>
      </c>
      <c r="G40" s="2" t="s">
        <v>130</v>
      </c>
      <c r="H40" s="2" t="s">
        <v>131</v>
      </c>
      <c r="I40" s="2" t="s">
        <v>132</v>
      </c>
    </row>
    <row r="41" spans="1:9" ht="28.8" x14ac:dyDescent="0.3">
      <c r="A41" s="2" t="s">
        <v>111</v>
      </c>
      <c r="B41" s="2" t="s">
        <v>133</v>
      </c>
      <c r="C41" s="2" t="s">
        <v>53</v>
      </c>
      <c r="D41" s="3">
        <v>25</v>
      </c>
      <c r="E41" s="3">
        <v>38</v>
      </c>
      <c r="F41" s="3">
        <v>60</v>
      </c>
      <c r="G41" s="2" t="s">
        <v>134</v>
      </c>
      <c r="H41" s="2" t="s">
        <v>25</v>
      </c>
      <c r="I41" s="2" t="s">
        <v>19</v>
      </c>
    </row>
    <row r="42" spans="1:9" ht="28.8" x14ac:dyDescent="0.3">
      <c r="A42" s="2" t="s">
        <v>135</v>
      </c>
      <c r="B42" s="2" t="s">
        <v>136</v>
      </c>
      <c r="C42" s="2" t="s">
        <v>137</v>
      </c>
      <c r="D42" s="3">
        <v>25</v>
      </c>
      <c r="E42" s="3">
        <v>45</v>
      </c>
      <c r="F42" s="3">
        <v>90</v>
      </c>
      <c r="G42" s="2" t="s">
        <v>138</v>
      </c>
      <c r="H42" s="2" t="s">
        <v>25</v>
      </c>
      <c r="I42" s="2" t="s">
        <v>19</v>
      </c>
    </row>
    <row r="43" spans="1:9" ht="28.8" x14ac:dyDescent="0.3">
      <c r="A43" s="2" t="s">
        <v>135</v>
      </c>
      <c r="B43" s="2" t="s">
        <v>139</v>
      </c>
      <c r="C43" s="2" t="s">
        <v>140</v>
      </c>
      <c r="D43" s="3">
        <v>0</v>
      </c>
      <c r="E43" s="3">
        <v>35</v>
      </c>
      <c r="F43" s="3">
        <v>100</v>
      </c>
      <c r="G43" s="2" t="s">
        <v>141</v>
      </c>
      <c r="H43" s="2" t="s">
        <v>142</v>
      </c>
      <c r="I43" s="2" t="s">
        <v>19</v>
      </c>
    </row>
    <row r="44" spans="1:9" ht="28.8" x14ac:dyDescent="0.3">
      <c r="A44" s="2" t="s">
        <v>135</v>
      </c>
      <c r="B44" s="2" t="s">
        <v>143</v>
      </c>
      <c r="C44" s="2" t="s">
        <v>53</v>
      </c>
      <c r="D44" s="3">
        <v>25</v>
      </c>
      <c r="E44" s="3">
        <v>40</v>
      </c>
      <c r="F44" s="3">
        <v>65</v>
      </c>
      <c r="G44" s="2" t="s">
        <v>144</v>
      </c>
      <c r="H44" s="2" t="s">
        <v>25</v>
      </c>
      <c r="I44" s="2" t="s">
        <v>19</v>
      </c>
    </row>
  </sheetData>
  <autoFilter ref="A1:I44"/>
  <conditionalFormatting sqref="D2:F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8" customWidth="1"/>
    <col min="2" max="2" width="16" customWidth="1"/>
  </cols>
  <sheetData>
    <row r="1" spans="1:2" x14ac:dyDescent="0.3">
      <c r="A1" s="4" t="s">
        <v>0</v>
      </c>
      <c r="B1" s="4" t="s">
        <v>145</v>
      </c>
    </row>
    <row r="2" spans="1:2" x14ac:dyDescent="0.3">
      <c r="A2" s="2" t="s">
        <v>111</v>
      </c>
      <c r="B2" s="2">
        <v>8</v>
      </c>
    </row>
    <row r="3" spans="1:2" x14ac:dyDescent="0.3">
      <c r="A3" s="2" t="s">
        <v>90</v>
      </c>
      <c r="B3" s="2">
        <v>4</v>
      </c>
    </row>
    <row r="4" spans="1:2" x14ac:dyDescent="0.3">
      <c r="A4" s="2" t="s">
        <v>135</v>
      </c>
      <c r="B4" s="2">
        <v>3</v>
      </c>
    </row>
    <row r="5" spans="1:2" x14ac:dyDescent="0.3">
      <c r="A5" s="2" t="s">
        <v>38</v>
      </c>
      <c r="B5" s="2">
        <v>5</v>
      </c>
    </row>
    <row r="6" spans="1:2" x14ac:dyDescent="0.3">
      <c r="A6" s="2" t="s">
        <v>56</v>
      </c>
      <c r="B6" s="2">
        <v>6</v>
      </c>
    </row>
    <row r="7" spans="1:2" x14ac:dyDescent="0.3">
      <c r="A7" s="2" t="s">
        <v>74</v>
      </c>
      <c r="B7" s="2">
        <v>6</v>
      </c>
    </row>
    <row r="8" spans="1:2" x14ac:dyDescent="0.3">
      <c r="A8" s="2" t="s">
        <v>101</v>
      </c>
      <c r="B8" s="2">
        <v>3</v>
      </c>
    </row>
    <row r="9" spans="1:2" x14ac:dyDescent="0.3">
      <c r="A9" s="2" t="s">
        <v>9</v>
      </c>
      <c r="B9" s="2">
        <v>8</v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8" topLeftCell="A9" activePane="bottomLeft" state="frozen"/>
      <selection pane="bottomLeft"/>
    </sheetView>
  </sheetViews>
  <sheetFormatPr defaultRowHeight="14.4" x14ac:dyDescent="0.3"/>
  <cols>
    <col min="1" max="1" width="35" customWidth="1"/>
    <col min="2" max="2" width="110" customWidth="1"/>
    <col min="3" max="3" width="70" customWidth="1"/>
  </cols>
  <sheetData>
    <row r="1" spans="1:3" x14ac:dyDescent="0.3">
      <c r="A1" s="5" t="s">
        <v>146</v>
      </c>
      <c r="B1" s="5"/>
      <c r="C1" s="5"/>
    </row>
    <row r="2" spans="1:3" ht="43.2" x14ac:dyDescent="0.3">
      <c r="A2" s="2" t="s">
        <v>147</v>
      </c>
      <c r="B2" s="2"/>
      <c r="C2" s="2"/>
    </row>
    <row r="3" spans="1:3" ht="72" x14ac:dyDescent="0.3">
      <c r="A3" s="2" t="s">
        <v>148</v>
      </c>
      <c r="B3" s="2"/>
      <c r="C3" s="2"/>
    </row>
    <row r="4" spans="1:3" ht="57.6" x14ac:dyDescent="0.3">
      <c r="A4" s="2" t="s">
        <v>149</v>
      </c>
      <c r="B4" s="2"/>
      <c r="C4" s="2"/>
    </row>
    <row r="5" spans="1:3" ht="72" x14ac:dyDescent="0.3">
      <c r="A5" s="2" t="s">
        <v>150</v>
      </c>
      <c r="B5" s="2"/>
      <c r="C5" s="2"/>
    </row>
    <row r="6" spans="1:3" ht="86.4" x14ac:dyDescent="0.3">
      <c r="A6" s="2" t="s">
        <v>151</v>
      </c>
      <c r="B6" s="2"/>
      <c r="C6" s="2"/>
    </row>
    <row r="7" spans="1:3" x14ac:dyDescent="0.3">
      <c r="A7" s="2"/>
      <c r="B7" s="2"/>
      <c r="C7" s="2"/>
    </row>
    <row r="8" spans="1:3" x14ac:dyDescent="0.3">
      <c r="A8" s="5" t="s">
        <v>152</v>
      </c>
      <c r="B8" s="5" t="s">
        <v>153</v>
      </c>
      <c r="C8" s="5" t="s">
        <v>154</v>
      </c>
    </row>
    <row r="9" spans="1:3" ht="28.8" x14ac:dyDescent="0.3">
      <c r="A9" s="2" t="s">
        <v>155</v>
      </c>
      <c r="B9" s="2" t="s">
        <v>156</v>
      </c>
      <c r="C9" s="6" t="s">
        <v>157</v>
      </c>
    </row>
    <row r="10" spans="1:3" ht="15.6" x14ac:dyDescent="0.3">
      <c r="A10" s="2" t="s">
        <v>158</v>
      </c>
      <c r="B10" s="2" t="s">
        <v>159</v>
      </c>
      <c r="C10" s="6" t="s">
        <v>160</v>
      </c>
    </row>
    <row r="11" spans="1:3" ht="15.6" x14ac:dyDescent="0.3">
      <c r="A11" s="2" t="s">
        <v>161</v>
      </c>
      <c r="B11" s="2" t="s">
        <v>162</v>
      </c>
      <c r="C11" s="6" t="s">
        <v>163</v>
      </c>
    </row>
    <row r="12" spans="1:3" ht="15.6" x14ac:dyDescent="0.3">
      <c r="A12" s="2" t="s">
        <v>164</v>
      </c>
      <c r="B12" s="2" t="s">
        <v>165</v>
      </c>
      <c r="C12" s="6" t="s">
        <v>166</v>
      </c>
    </row>
    <row r="13" spans="1:3" ht="15.6" x14ac:dyDescent="0.3">
      <c r="A13" s="2" t="s">
        <v>167</v>
      </c>
      <c r="B13" s="2" t="s">
        <v>168</v>
      </c>
      <c r="C13" s="6" t="s">
        <v>169</v>
      </c>
    </row>
    <row r="14" spans="1:3" ht="28.8" x14ac:dyDescent="0.3">
      <c r="A14" s="2" t="s">
        <v>170</v>
      </c>
      <c r="B14" s="2" t="s">
        <v>171</v>
      </c>
      <c r="C14" s="2"/>
    </row>
  </sheetData>
  <hyperlinks>
    <hyperlink ref="C9" r:id="rId1"/>
    <hyperlink ref="C10" r:id="rId2"/>
    <hyperlink ref="C11" r:id="rId3"/>
    <hyperlink ref="C12" r:id="rId4"/>
    <hyperlink ref="C13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25" customWidth="1"/>
    <col min="3" max="3" width="60" customWidth="1"/>
    <col min="4" max="4" width="80" customWidth="1"/>
  </cols>
  <sheetData>
    <row r="1" spans="1:4" x14ac:dyDescent="0.3">
      <c r="A1" s="4" t="s">
        <v>1</v>
      </c>
      <c r="B1" s="4" t="s">
        <v>172</v>
      </c>
      <c r="C1" s="4" t="s">
        <v>173</v>
      </c>
      <c r="D1" s="4" t="s">
        <v>152</v>
      </c>
    </row>
    <row r="2" spans="1:4" x14ac:dyDescent="0.3">
      <c r="A2" s="2" t="s">
        <v>174</v>
      </c>
      <c r="B2" s="2" t="s">
        <v>175</v>
      </c>
      <c r="C2" s="2" t="s">
        <v>176</v>
      </c>
      <c r="D2" s="2" t="s">
        <v>177</v>
      </c>
    </row>
    <row r="3" spans="1:4" x14ac:dyDescent="0.3">
      <c r="A3" s="2" t="s">
        <v>178</v>
      </c>
      <c r="B3" s="2" t="s">
        <v>179</v>
      </c>
      <c r="C3" s="2" t="s">
        <v>180</v>
      </c>
      <c r="D3" s="2" t="s">
        <v>177</v>
      </c>
    </row>
    <row r="4" spans="1:4" x14ac:dyDescent="0.3">
      <c r="A4" s="2" t="s">
        <v>46</v>
      </c>
      <c r="B4" s="2" t="s">
        <v>181</v>
      </c>
      <c r="C4" s="2" t="s">
        <v>182</v>
      </c>
      <c r="D4" s="2" t="s">
        <v>177</v>
      </c>
    </row>
    <row r="5" spans="1:4" x14ac:dyDescent="0.3">
      <c r="A5" s="2" t="s">
        <v>183</v>
      </c>
      <c r="B5" s="2" t="s">
        <v>184</v>
      </c>
      <c r="C5" s="2" t="s">
        <v>185</v>
      </c>
      <c r="D5" s="2" t="s">
        <v>186</v>
      </c>
    </row>
    <row r="6" spans="1:4" x14ac:dyDescent="0.3">
      <c r="A6" s="2" t="s">
        <v>187</v>
      </c>
      <c r="B6" s="2" t="s">
        <v>175</v>
      </c>
      <c r="C6" s="2" t="s">
        <v>185</v>
      </c>
      <c r="D6" s="2" t="s">
        <v>186</v>
      </c>
    </row>
    <row r="7" spans="1:4" ht="28.8" x14ac:dyDescent="0.3">
      <c r="A7" s="2" t="s">
        <v>188</v>
      </c>
      <c r="B7" s="2" t="s">
        <v>189</v>
      </c>
      <c r="C7" s="2" t="s">
        <v>190</v>
      </c>
      <c r="D7" s="2" t="s">
        <v>191</v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Metālapstrādes cenas</vt:lpstr>
      <vt:lpstr>Kategoriju kopsavilkums</vt:lpstr>
      <vt:lpstr>Metodika un avoti</vt:lpstr>
      <vt:lpstr>Publiskās cenu atsauces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Elina</cp:lastModifiedBy>
  <dcterms:created xsi:type="dcterms:W3CDTF">2026-10-17T09:16:50Z</dcterms:created>
  <dcterms:modified xsi:type="dcterms:W3CDTF">2026-10-17T09:23:46Z</dcterms:modified>
</cp:coreProperties>
</file>